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 codeName="ЭтаКнига"/>
  <mc:AlternateContent xmlns:mc="http://schemas.openxmlformats.org/markup-compatibility/2006">
    <mc:Choice Requires="x15">
      <x15ac:absPath xmlns:x15ac="http://schemas.microsoft.com/office/spreadsheetml/2010/11/ac" url="D:\Users\ale_m\Desktop\Passenger railway station\Passenger railway station\Pic\"/>
    </mc:Choice>
  </mc:AlternateContent>
  <xr:revisionPtr revIDLastSave="0" documentId="13_ncr:1_{45C0958F-8322-4291-A0CB-8D98A4351B1A}" xr6:coauthVersionLast="45" xr6:coauthVersionMax="45" xr10:uidLastSave="{00000000-0000-0000-0000-000000000000}"/>
  <bookViews>
    <workbookView xWindow="540" yWindow="2385" windowWidth="15375" windowHeight="7875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R11" i="1"/>
  <c r="R8" i="1"/>
  <c r="T10" i="1"/>
  <c r="R9" i="1"/>
  <c r="U7" i="1"/>
  <c r="R7" i="1"/>
  <c r="R6" i="1"/>
  <c r="R5" i="1"/>
  <c r="V4" i="1"/>
  <c r="T4" i="1"/>
  <c r="R4" i="1"/>
  <c r="R2" i="1"/>
  <c r="L1" i="1"/>
</calcChain>
</file>

<file path=xl/sharedStrings.xml><?xml version="1.0" encoding="utf-8"?>
<sst xmlns="http://schemas.openxmlformats.org/spreadsheetml/2006/main" count="50" uniqueCount="47">
  <si>
    <t>РЖД</t>
  </si>
  <si>
    <t>АИС</t>
  </si>
  <si>
    <t>"Железнодорожный пассажирский вокзал"</t>
  </si>
  <si>
    <t>ПРОЕЗДНОЙ</t>
  </si>
  <si>
    <t>ДОКУМЕНТ</t>
  </si>
  <si>
    <t>ПОЕЗД</t>
  </si>
  <si>
    <t>ОТПРАВЛЕНИЕ</t>
  </si>
  <si>
    <t>ВАГОН</t>
  </si>
  <si>
    <t>дата</t>
  </si>
  <si>
    <t>время</t>
  </si>
  <si>
    <t>часы</t>
  </si>
  <si>
    <t>мин.</t>
  </si>
  <si>
    <t>№</t>
  </si>
  <si>
    <t>Тип</t>
  </si>
  <si>
    <t>Билет</t>
  </si>
  <si>
    <t>Плацкарта</t>
  </si>
  <si>
    <t>Количество человек</t>
  </si>
  <si>
    <t>ЦЕНА</t>
  </si>
  <si>
    <t>руб.</t>
  </si>
  <si>
    <t>ВИД ДОКУМЕНТА</t>
  </si>
  <si>
    <t>КОНТРОЛЬНЫЙ КУПОН</t>
  </si>
  <si>
    <t>000497.4</t>
  </si>
  <si>
    <t>000863.8</t>
  </si>
  <si>
    <t>ЭФ</t>
  </si>
  <si>
    <t>(</t>
  </si>
  <si>
    <t>-</t>
  </si>
  <si>
    <t>)</t>
  </si>
  <si>
    <t>МЕСТО</t>
  </si>
  <si>
    <t>ФПК</t>
  </si>
  <si>
    <t>МОСКОВСКИЙ</t>
  </si>
  <si>
    <t>ВРЕМЯ ОТПР И ПРИБ МОСКОВСКОЕ</t>
  </si>
  <si>
    <t>ПРИБЫТИЕ</t>
  </si>
  <si>
    <t>/</t>
  </si>
  <si>
    <t>РУБ:</t>
  </si>
  <si>
    <t>В ТЧ. НДС 20%</t>
  </si>
  <si>
    <t>A358T</t>
  </si>
  <si>
    <t>СВ (люкс)</t>
  </si>
  <si>
    <t>Волоколамск</t>
  </si>
  <si>
    <t>Москва (Курский) - Санкт-Петербург)</t>
  </si>
  <si>
    <t>Поляков В. В.</t>
  </si>
  <si>
    <t>СУММА</t>
  </si>
  <si>
    <t>2019.12.27 04:34:33</t>
  </si>
  <si>
    <t>Социальная карта</t>
  </si>
  <si>
    <t>Не питер</t>
  </si>
  <si>
    <t>13012020 024117</t>
  </si>
  <si>
    <t>Свидетельство</t>
  </si>
  <si>
    <t>Смирнова В.С.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</si>
</sst>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"/>
    <numFmt numFmtId="165" formatCode="00"/>
    <numFmt numFmtId="166" formatCode="0000000000"/>
    <numFmt numFmtId="167" formatCode="0000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textRotation="90"/>
    </xf>
    <xf numFmtId="0" fontId="0" fillId="0" borderId="1" xfId="0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 textRotation="90"/>
    </xf>
    <xf numFmtId="0" fontId="0" fillId="0" borderId="3" xfId="0" applyBorder="1"/>
    <xf numFmtId="49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0" fontId="1" fillId="0" borderId="0" xfId="0" applyFont="1" applyAlignment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left"/>
    </xf>
    <xf numFmtId="0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49" fontId="0" fillId="0" borderId="2" xfId="0" applyNumberFormat="1" applyBorder="1" applyAlignment="1">
      <alignment horizontal="center"/>
    </xf>
    <xf numFmtId="166" fontId="0" fillId="0" borderId="0" xfId="0" applyNumberFormat="1" applyAlignment="1">
      <alignment horizontal="left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textRotation="90" wrapText="1"/>
    </xf>
    <xf numFmtId="0" fontId="0" fillId="0" borderId="6" xfId="0" applyBorder="1" applyAlignment="1">
      <alignment horizontal="center" textRotation="90" wrapText="1"/>
    </xf>
    <xf numFmtId="166" fontId="2" fillId="0" borderId="0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activeX1.xml><?xml version="1.0" encoding="utf-8"?>
<ax:ocx xmlns:ax="http://schemas.microsoft.com/office/2006/activeX" xmlns:r="http://schemas.openxmlformats.org/officeDocument/2006/relationships" ax:classid="{8A04E844-F5EF-11CF-8939-444553540000}" ax:license="ActiveBarcode TrialVersion, all rights reserved by Lars Schenk, 23669 Timmendorfer Strand, Germany" ax:persistence="persistPropertyBag">
  <ax:ocxPr ax:name="_Version" ax:value="65536"/>
  <ax:ocxPr ax:name="_ExtentX" ax:value="1667"/>
  <ax:ocxPr ax:name="_ExtentY" ax:value="8043"/>
  <ax:ocxPr ax:name="_StockProps" ax:value="25"/>
  <ax:ocxPr ax:name="Text" ax:value="7"/>
  <ax:ocxPr ax:name="ForeColor" ax:value="0"/>
  <ax:ocxPr ax:name="BackColor" ax:value="16777215"/>
  <ax:ocxPr ax:name="Type" ax:value="28"/>
  <ax:ocxPr ax:name="TypeName" ax:value="EAN/UCC 128 AI"/>
  <ax:ocxPr ax:name="Font">
    <ax:font ax:persistence="persistPropertyBag">
      <ax:ocxPr ax:name="Name" ax:value="Courier New"/>
      <ax:ocxPr ax:name="Size" ax:value="8,2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NotchHeightInPercent" ax:value="50"/>
  <ax:ocxPr ax:name="Rotate" ax:value="270"/>
</ax:ocx>
</file>

<file path=xl/activeX/activeX2.xml><?xml version="1.0" encoding="utf-8"?>
<ax:ocx xmlns:ax="http://schemas.microsoft.com/office/2006/activeX" xmlns:r="http://schemas.openxmlformats.org/officeDocument/2006/relationships" ax:classid="{8A04E844-F5EF-11CF-8939-444553540000}" ax:license="ActiveBarcode TrialVersion, all rights reserved by Lars Schenk, 23669 Timmendorfer Strand, Germany" ax:persistence="persistPropertyBag">
  <ax:ocxPr ax:name="_Version" ax:value="65536"/>
  <ax:ocxPr ax:name="_ExtentX" ax:value="1773"/>
  <ax:ocxPr ax:name="_ExtentY" ax:value="8123"/>
  <ax:ocxPr ax:name="_StockProps" ax:value="25"/>
  <ax:ocxPr ax:name="Text" ax:value="7"/>
  <ax:ocxPr ax:name="ForeColor" ax:value="0"/>
  <ax:ocxPr ax:name="BackColor" ax:value="16777215"/>
  <ax:ocxPr ax:name="Type" ax:value="28"/>
  <ax:ocxPr ax:name="TypeName" ax:value="EAN/UCC 128 AI"/>
  <ax:ocxPr ax:name="Font">
    <ax:font ax:persistence="persistPropertyBag">
      <ax:ocxPr ax:name="Name" ax:value="Courier New"/>
      <ax:ocxPr ax:name="Size" ax:value="8,2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NotchHeightInPercent" ax:value="50"/>
  <ax:ocxPr ax:name="Rotate" ax:value="270"/>
</ax:ocx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38100</xdr:colOff>
          <xdr:row>0</xdr:row>
          <xdr:rowOff>0</xdr:rowOff>
        </xdr:from>
        <xdr:to>
          <xdr:col>0</xdr:col>
          <xdr:colOff>638175</xdr:colOff>
          <xdr:row>12</xdr:row>
          <xdr:rowOff>142875</xdr:rowOff>
        </xdr:to>
        <xdr:sp macro="" textlink="">
          <xdr:nvSpPr>
            <xdr:cNvPr id="1027" name="Barcode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28575</xdr:colOff>
          <xdr:row>0</xdr:row>
          <xdr:rowOff>0</xdr:rowOff>
        </xdr:from>
        <xdr:to>
          <xdr:col>16</xdr:col>
          <xdr:colOff>666750</xdr:colOff>
          <xdr:row>12</xdr:row>
          <xdr:rowOff>171450</xdr:rowOff>
        </xdr:to>
        <xdr:sp macro="" textlink="">
          <xdr:nvSpPr>
            <xdr:cNvPr id="1031" name="Barcode2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V13"/>
  <sheetViews>
    <sheetView tabSelected="1" view="pageBreakPreview" zoomScaleNormal="100" zoomScaleSheetLayoutView="100" workbookViewId="0">
      <selection activeCell="B9" sqref="B9:D9"/>
    </sheetView>
  </sheetViews>
  <sheetFormatPr defaultRowHeight="15" x14ac:dyDescent="0.25"/>
  <cols>
    <col min="1" max="1" width="9.85546875" customWidth="1"/>
    <col min="3" max="4" width="7.85546875" customWidth="1"/>
    <col min="5" max="5" width="7.5703125" customWidth="1"/>
    <col min="6" max="6" width="7.85546875" customWidth="1"/>
    <col min="7" max="7" width="7.42578125" customWidth="1"/>
    <col min="8" max="8" width="10.85546875" customWidth="1"/>
    <col min="10" max="10" width="5.85546875" customWidth="1"/>
    <col min="11" max="11" width="11" customWidth="1"/>
    <col min="12" max="12" width="7.28515625" customWidth="1"/>
    <col min="13" max="13" width="6.7109375" customWidth="1"/>
    <col min="14" max="14" width="7.85546875" customWidth="1"/>
    <col min="15" max="15" width="5.140625" customWidth="1"/>
    <col min="16" max="16" width="0.140625" hidden="1" customWidth="1"/>
    <col min="17" max="17" width="10.140625" customWidth="1"/>
    <col min="18" max="18" width="6.7109375" customWidth="1"/>
    <col min="19" max="19" width="3" customWidth="1"/>
    <col min="20" max="20" width="7.7109375" customWidth="1"/>
    <col min="21" max="21" width="3.42578125" customWidth="1"/>
    <col min="22" max="22" width="13.85546875" customWidth="1"/>
  </cols>
  <sheetData>
    <row r="1" spans="1:22" ht="16.5" customHeight="1" x14ac:dyDescent="0.25">
      <c r="A1" s="27"/>
      <c r="B1" s="2" t="s">
        <v>0</v>
      </c>
      <c r="C1" s="3"/>
      <c r="D1" s="34" t="s">
        <v>1</v>
      </c>
      <c r="E1" s="34"/>
      <c r="F1" s="34"/>
      <c r="G1" s="34"/>
      <c r="H1" s="34"/>
      <c r="I1" s="35" t="s">
        <v>3</v>
      </c>
      <c r="J1" s="35"/>
      <c r="K1" s="35"/>
      <c r="L1" s="46">
        <f>B8</f>
        <v>7</v>
      </c>
      <c r="M1" s="47"/>
      <c r="N1" s="47"/>
      <c r="O1" s="47"/>
      <c r="P1" s="47"/>
      <c r="Q1" s="27"/>
      <c r="R1" s="27" t="s">
        <v>20</v>
      </c>
      <c r="S1" s="27"/>
      <c r="T1" s="27"/>
      <c r="U1" s="27"/>
      <c r="V1" s="27"/>
    </row>
    <row r="2" spans="1:22" ht="18" customHeight="1" thickBot="1" x14ac:dyDescent="0.3">
      <c r="A2" s="27"/>
      <c r="B2" s="4">
        <v>20</v>
      </c>
      <c r="C2" s="5"/>
      <c r="D2" s="33" t="s">
        <v>2</v>
      </c>
      <c r="E2" s="33"/>
      <c r="F2" s="33"/>
      <c r="G2" s="33"/>
      <c r="H2" s="33"/>
      <c r="I2" s="36" t="s">
        <v>4</v>
      </c>
      <c r="J2" s="36"/>
      <c r="K2" s="36"/>
      <c r="L2" s="48"/>
      <c r="M2" s="48"/>
      <c r="N2" s="48"/>
      <c r="O2" s="48"/>
      <c r="P2" s="48"/>
      <c r="Q2" s="27"/>
      <c r="R2" s="37">
        <f>B8</f>
        <v>7</v>
      </c>
      <c r="S2" s="38"/>
      <c r="T2" s="38"/>
      <c r="U2" s="38"/>
      <c r="V2" s="38"/>
    </row>
    <row r="3" spans="1:22" x14ac:dyDescent="0.25">
      <c r="A3" s="27"/>
      <c r="B3" s="9" t="s">
        <v>5</v>
      </c>
      <c r="C3" s="42" t="s">
        <v>6</v>
      </c>
      <c r="D3" s="42"/>
      <c r="E3" s="42"/>
      <c r="F3" s="43"/>
      <c r="G3" s="42" t="s">
        <v>7</v>
      </c>
      <c r="H3" s="43"/>
      <c r="J3" s="1" t="s">
        <v>17</v>
      </c>
      <c r="K3" s="12"/>
      <c r="L3" s="44" t="s">
        <v>16</v>
      </c>
      <c r="M3" s="32" t="s">
        <v>19</v>
      </c>
      <c r="N3" s="32"/>
      <c r="O3" s="32"/>
      <c r="P3" s="32"/>
      <c r="Q3" s="27"/>
      <c r="R3" s="38"/>
      <c r="S3" s="38"/>
      <c r="T3" s="38"/>
      <c r="U3" s="38"/>
      <c r="V3" s="38"/>
    </row>
    <row r="4" spans="1:22" ht="45" customHeight="1" thickBot="1" x14ac:dyDescent="0.3">
      <c r="A4" s="27"/>
      <c r="B4" s="10" t="s">
        <v>12</v>
      </c>
      <c r="C4" s="7" t="s">
        <v>8</v>
      </c>
      <c r="D4" s="7" t="s">
        <v>9</v>
      </c>
      <c r="E4" s="7" t="s">
        <v>10</v>
      </c>
      <c r="F4" s="11" t="s">
        <v>11</v>
      </c>
      <c r="G4" s="6" t="s">
        <v>12</v>
      </c>
      <c r="H4" s="10" t="s">
        <v>13</v>
      </c>
      <c r="I4" s="6" t="s">
        <v>14</v>
      </c>
      <c r="J4" s="8" t="s">
        <v>18</v>
      </c>
      <c r="K4" s="10" t="s">
        <v>15</v>
      </c>
      <c r="L4" s="45"/>
      <c r="M4" s="41"/>
      <c r="N4" s="33"/>
      <c r="O4" s="33"/>
      <c r="P4" s="33"/>
      <c r="Q4" s="27"/>
      <c r="R4" s="26" t="str">
        <f>B5</f>
        <v>A358T</v>
      </c>
      <c r="S4" s="26"/>
      <c r="T4" s="28" t="str">
        <f>C5</f>
        <v>2019.12.27 04:34:33</v>
      </c>
      <c r="U4" s="26"/>
      <c r="V4" s="24" t="str">
        <f>CONCATENATE(G5," ",H5)</f>
        <v>2 СВ (люкс)</v>
      </c>
    </row>
    <row r="5" spans="1:22" ht="16.5" customHeight="1" x14ac:dyDescent="0.25">
      <c r="A5" s="27"/>
      <c r="B5" t="s">
        <v>35</v>
      </c>
      <c r="C5" s="30" t="s">
        <v>41</v>
      </c>
      <c r="D5" s="30"/>
      <c r="E5" s="30"/>
      <c r="F5" s="30"/>
      <c r="G5" s="23">
        <v>2</v>
      </c>
      <c r="H5" s="21" t="s">
        <v>36</v>
      </c>
      <c r="I5" s="13" t="s">
        <v>21</v>
      </c>
      <c r="J5" s="1"/>
      <c r="K5" s="13" t="s">
        <v>22</v>
      </c>
      <c r="L5" s="18">
        <v>1</v>
      </c>
      <c r="M5" s="42" t="s">
        <v>42</v>
      </c>
      <c r="N5" s="42"/>
      <c r="O5" t="s">
        <v>23</v>
      </c>
      <c r="Q5" s="27"/>
      <c r="R5" s="26" t="str">
        <f>CONCATENATE(B6,D6,E6)</f>
        <v>Волоколамск-Не питер</v>
      </c>
      <c r="S5" s="26"/>
      <c r="T5" s="26"/>
      <c r="U5" s="26"/>
      <c r="V5" s="26"/>
    </row>
    <row r="6" spans="1:22" x14ac:dyDescent="0.25">
      <c r="A6" s="27"/>
      <c r="B6" s="26" t="s">
        <v>37</v>
      </c>
      <c r="C6" s="26"/>
      <c r="D6" s="20" t="s">
        <v>25</v>
      </c>
      <c r="E6" s="26" t="s">
        <v>43</v>
      </c>
      <c r="F6" s="26"/>
      <c r="G6" s="14" t="s">
        <v>24</v>
      </c>
      <c r="H6" s="16">
        <v>1</v>
      </c>
      <c r="I6" s="1" t="s">
        <v>25</v>
      </c>
      <c r="J6" s="17">
        <v>20</v>
      </c>
      <c r="K6" t="s">
        <v>26</v>
      </c>
      <c r="Q6" s="27"/>
      <c r="R6" s="26" t="str">
        <f>G7</f>
        <v>Москва (Курский) - Санкт-Петербург)</v>
      </c>
      <c r="S6" s="26"/>
      <c r="T6" s="26"/>
      <c r="U6" s="26"/>
      <c r="V6" s="26"/>
    </row>
    <row r="7" spans="1:22" x14ac:dyDescent="0.25">
      <c r="A7" s="27"/>
      <c r="B7" t="s">
        <v>27</v>
      </c>
      <c r="C7">
        <v>4</v>
      </c>
      <c r="D7" t="s">
        <v>28</v>
      </c>
      <c r="E7" s="26" t="s">
        <v>29</v>
      </c>
      <c r="F7" s="26"/>
      <c r="G7" s="26" t="s">
        <v>38</v>
      </c>
      <c r="H7" s="26"/>
      <c r="I7" s="26"/>
      <c r="J7" s="26"/>
      <c r="K7" s="26"/>
      <c r="L7" s="26"/>
      <c r="Q7" s="27"/>
      <c r="R7" s="26" t="str">
        <f>M5</f>
        <v>Социальная карта</v>
      </c>
      <c r="S7" s="26"/>
      <c r="T7" s="26"/>
      <c r="U7" t="str">
        <f>O5</f>
        <v>ЭФ</v>
      </c>
      <c r="V7" s="22">
        <f>C7</f>
        <v>4</v>
      </c>
    </row>
    <row r="8" spans="1:22" x14ac:dyDescent="0.25">
      <c r="A8" s="27"/>
      <c r="B8" s="31">
        <v>7</v>
      </c>
      <c r="C8" s="31"/>
      <c r="E8" s="26" t="s">
        <v>44</v>
      </c>
      <c r="F8" s="26"/>
      <c r="G8" s="26"/>
      <c r="H8" s="26" t="s">
        <v>39</v>
      </c>
      <c r="I8" s="26"/>
      <c r="J8" s="26"/>
      <c r="Q8" s="27"/>
      <c r="R8" s="25">
        <f>E9</f>
        <v>164621</v>
      </c>
      <c r="S8" s="26"/>
      <c r="T8" s="26"/>
    </row>
    <row r="9" spans="1:22" x14ac:dyDescent="0.25">
      <c r="A9" s="27"/>
      <c r="B9" s="26" t="s">
        <v>45</v>
      </c>
      <c r="C9" s="26"/>
      <c r="D9" s="26"/>
      <c r="E9" s="25">
        <v>164621</v>
      </c>
      <c r="F9" s="25"/>
      <c r="G9" s="15" t="s">
        <v>32</v>
      </c>
      <c r="H9" s="27" t="s">
        <v>46</v>
      </c>
      <c r="I9" s="27"/>
      <c r="Q9" s="27"/>
      <c r="R9" s="26" t="str">
        <f>H9</f>
        <v>Смирнова В.С.</v>
      </c>
      <c r="S9" s="26"/>
      <c r="T9" s="26"/>
    </row>
    <row r="10" spans="1:22" ht="15.75" x14ac:dyDescent="0.25">
      <c r="A10" s="27"/>
      <c r="B10" s="29">
        <v>0</v>
      </c>
      <c r="C10" s="29"/>
      <c r="D10" s="19" t="s">
        <v>33</v>
      </c>
      <c r="E10" s="26" t="s">
        <v>34</v>
      </c>
      <c r="F10" s="26"/>
      <c r="G10" s="26"/>
      <c r="Q10" s="27"/>
      <c r="R10" s="26" t="s">
        <v>40</v>
      </c>
      <c r="S10" s="26"/>
      <c r="T10" s="22">
        <f>B10</f>
        <v>0</v>
      </c>
    </row>
    <row r="11" spans="1:22" x14ac:dyDescent="0.25">
      <c r="A11" s="27"/>
      <c r="B11" s="39" t="s">
        <v>31</v>
      </c>
      <c r="C11" s="39"/>
      <c r="D11" s="40" t="s">
        <v>41</v>
      </c>
      <c r="E11" s="40"/>
      <c r="F11" s="40"/>
      <c r="Q11" s="27"/>
      <c r="R11" s="26" t="str">
        <f>E8</f>
        <v>13012020 024117</v>
      </c>
      <c r="S11" s="26"/>
      <c r="T11" s="26"/>
    </row>
    <row r="12" spans="1:22" x14ac:dyDescent="0.25">
      <c r="A12" s="27"/>
      <c r="B12" s="26" t="s">
        <v>30</v>
      </c>
      <c r="C12" s="26"/>
      <c r="D12" s="26"/>
      <c r="E12" s="26"/>
      <c r="F12" s="26"/>
      <c r="Q12" s="27"/>
      <c r="R12" s="27"/>
      <c r="S12" s="27"/>
      <c r="T12" s="27"/>
    </row>
    <row r="13" spans="1:22" x14ac:dyDescent="0.25">
      <c r="A13" s="27"/>
      <c r="Q13" s="27"/>
    </row>
  </sheetData>
  <mergeCells count="41">
    <mergeCell ref="A1:A13"/>
    <mergeCell ref="Q1:Q13"/>
    <mergeCell ref="R1:V1"/>
    <mergeCell ref="R2:V3"/>
    <mergeCell ref="E7:F7"/>
    <mergeCell ref="B12:F12"/>
    <mergeCell ref="B11:C11"/>
    <mergeCell ref="D11:F11"/>
    <mergeCell ref="M4:P4"/>
    <mergeCell ref="M5:N5"/>
    <mergeCell ref="B6:C6"/>
    <mergeCell ref="E6:F6"/>
    <mergeCell ref="C3:F3"/>
    <mergeCell ref="G3:H3"/>
    <mergeCell ref="L3:L4"/>
    <mergeCell ref="L1:P2"/>
    <mergeCell ref="M3:P3"/>
    <mergeCell ref="D2:H2"/>
    <mergeCell ref="D1:H1"/>
    <mergeCell ref="I1:K1"/>
    <mergeCell ref="I2:K2"/>
    <mergeCell ref="C5:F5"/>
    <mergeCell ref="G7:L7"/>
    <mergeCell ref="B8:C8"/>
    <mergeCell ref="E8:G8"/>
    <mergeCell ref="H8:J8"/>
    <mergeCell ref="B9:D9"/>
    <mergeCell ref="E9:F9"/>
    <mergeCell ref="H9:I9"/>
    <mergeCell ref="B10:C10"/>
    <mergeCell ref="E10:G10"/>
    <mergeCell ref="R4:S4"/>
    <mergeCell ref="T4:U4"/>
    <mergeCell ref="R5:V5"/>
    <mergeCell ref="R6:V6"/>
    <mergeCell ref="R7:T7"/>
    <mergeCell ref="R8:T8"/>
    <mergeCell ref="R9:T9"/>
    <mergeCell ref="R10:S10"/>
    <mergeCell ref="R11:T11"/>
    <mergeCell ref="R12:T12"/>
  </mergeCells>
  <pageMargins left="0.7" right="0.7" top="0.75" bottom="0.75" header="0.3" footer="0.3"/>
  <pageSetup paperSize="9" scale="52" orientation="portrait" r:id="rId1"/>
  <drawing r:id="rId2"/>
  <legacyDrawing r:id="rId3"/>
  <controls>
    <mc:AlternateContent xmlns:mc="http://schemas.openxmlformats.org/markup-compatibility/2006">
      <mc:Choice Requires="x14">
        <control shapeId="1027" r:id="rId4" name="Barcode1">
          <controlPr defaultSize="0" autoLine="0" linkedCell="$L$1" r:id="rId5">
            <anchor moveWithCells="1">
              <from>
                <xdr:col>0</xdr:col>
                <xdr:colOff>38100</xdr:colOff>
                <xdr:row>0</xdr:row>
                <xdr:rowOff>0</xdr:rowOff>
              </from>
              <to>
                <xdr:col>0</xdr:col>
                <xdr:colOff>638175</xdr:colOff>
                <xdr:row>12</xdr:row>
                <xdr:rowOff>142875</xdr:rowOff>
              </to>
            </anchor>
          </controlPr>
        </control>
      </mc:Choice>
      <mc:Fallback>
        <control shapeId="1027" r:id="rId4" name="Barcode1"/>
      </mc:Fallback>
    </mc:AlternateContent>
    <mc:AlternateContent xmlns:mc="http://schemas.openxmlformats.org/markup-compatibility/2006">
      <mc:Choice Requires="x14">
        <control shapeId="1031" r:id="rId6" name="Barcode2">
          <controlPr defaultSize="0" autoLine="0" autoPict="0" linkedCell="$L$1" r:id="rId7">
            <anchor moveWithCells="1">
              <from>
                <xdr:col>16</xdr:col>
                <xdr:colOff>28575</xdr:colOff>
                <xdr:row>0</xdr:row>
                <xdr:rowOff>0</xdr:rowOff>
              </from>
              <to>
                <xdr:col>16</xdr:col>
                <xdr:colOff>666750</xdr:colOff>
                <xdr:row>12</xdr:row>
                <xdr:rowOff>171450</xdr:rowOff>
              </to>
            </anchor>
          </controlPr>
        </control>
      </mc:Choice>
      <mc:Fallback>
        <control shapeId="1031" r:id="rId6" name="Barcode2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Maltsev</dc:creator>
  <cp:lastModifiedBy>Alex Maltsev</cp:lastModifiedBy>
  <cp:lastPrinted>2020-01-12T08:05:09Z</cp:lastPrinted>
  <dcterms:created xsi:type="dcterms:W3CDTF">2015-06-05T18:19:34Z</dcterms:created>
  <dcterms:modified xsi:type="dcterms:W3CDTF">2020-01-12T23:41:37Z</dcterms:modified>
</cp:coreProperties>
</file>